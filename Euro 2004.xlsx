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nai\Downloads\"/>
    </mc:Choice>
  </mc:AlternateContent>
  <xr:revisionPtr revIDLastSave="0" documentId="13_ncr:1_{FD463B07-E498-419B-B225-AC877CDA365B}" xr6:coauthVersionLast="47" xr6:coauthVersionMax="47" xr10:uidLastSave="{00000000-0000-0000-0000-000000000000}"/>
  <bookViews>
    <workbookView xWindow="-108" yWindow="-108" windowWidth="23256" windowHeight="12456" tabRatio="661" xr2:uid="{A1110C02-F5A7-4729-B27F-564AE02E8B81}"/>
  </bookViews>
  <sheets>
    <sheet name="Table" sheetId="1" r:id="rId1"/>
    <sheet name="Tournament Expectations" sheetId="8" r:id="rId2"/>
    <sheet name="Matches" sheetId="2" r:id="rId3"/>
    <sheet name="Teams Stats" sheetId="6" r:id="rId4"/>
    <sheet name="Opponent Comparison" sheetId="4" r:id="rId5"/>
    <sheet name="Goalscorer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8" l="1"/>
  <c r="D4" i="8"/>
  <c r="D16" i="8"/>
  <c r="D15" i="8"/>
  <c r="D14" i="8"/>
  <c r="D13" i="8"/>
  <c r="D11" i="8"/>
  <c r="D10" i="8"/>
  <c r="D9" i="8"/>
  <c r="D7" i="8"/>
  <c r="D12" i="8"/>
  <c r="D8" i="8"/>
  <c r="D6" i="8"/>
  <c r="D5" i="8"/>
  <c r="D3" i="8"/>
  <c r="D2" i="8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2" i="6"/>
  <c r="K7" i="6"/>
  <c r="K8" i="6"/>
  <c r="K9" i="6"/>
  <c r="K10" i="6"/>
  <c r="K11" i="6"/>
  <c r="K12" i="6"/>
  <c r="K13" i="6"/>
  <c r="K14" i="6"/>
  <c r="K15" i="6"/>
  <c r="K16" i="6"/>
  <c r="K17" i="6"/>
  <c r="K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2" i="6"/>
  <c r="H2" i="6"/>
  <c r="G4" i="6"/>
  <c r="G3" i="6"/>
  <c r="G5" i="6"/>
  <c r="G6" i="6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2" i="6"/>
  <c r="H4" i="6" l="1"/>
  <c r="K4" i="6"/>
  <c r="H3" i="6"/>
  <c r="K3" i="6"/>
  <c r="H5" i="6"/>
  <c r="K5" i="6"/>
  <c r="H6" i="6"/>
  <c r="K6" i="6"/>
</calcChain>
</file>

<file path=xl/sharedStrings.xml><?xml version="1.0" encoding="utf-8"?>
<sst xmlns="http://schemas.openxmlformats.org/spreadsheetml/2006/main" count="205" uniqueCount="137">
  <si>
    <t>PORTUGAL</t>
  </si>
  <si>
    <t>GREECE</t>
  </si>
  <si>
    <t>SPAIN</t>
  </si>
  <si>
    <t>RUSSIA</t>
  </si>
  <si>
    <t>POSITION</t>
  </si>
  <si>
    <t>TEAM</t>
  </si>
  <si>
    <t>PLAYED</t>
  </si>
  <si>
    <t>WON</t>
  </si>
  <si>
    <t>DRAW</t>
  </si>
  <si>
    <t>LOST</t>
  </si>
  <si>
    <t>POINTS</t>
  </si>
  <si>
    <t>1-2</t>
  </si>
  <si>
    <t>Match</t>
  </si>
  <si>
    <t>Opponent</t>
  </si>
  <si>
    <t>Stage</t>
  </si>
  <si>
    <t>Result</t>
  </si>
  <si>
    <t>Greece Goals</t>
  </si>
  <si>
    <t>Opponent Goals</t>
  </si>
  <si>
    <t>Greece vs Portugal</t>
  </si>
  <si>
    <t>Group Stage</t>
  </si>
  <si>
    <t>2-1</t>
  </si>
  <si>
    <t>Portugal</t>
  </si>
  <si>
    <t>Expected Winner</t>
  </si>
  <si>
    <t>Date</t>
  </si>
  <si>
    <t>Greece Shots</t>
  </si>
  <si>
    <t>Greece Shots on Target</t>
  </si>
  <si>
    <t>Greece Corners</t>
  </si>
  <si>
    <t>Opponent Shots</t>
  </si>
  <si>
    <t>Opponent Shots on Target</t>
  </si>
  <si>
    <t>Opponent Corners</t>
  </si>
  <si>
    <t>Greece Fouls</t>
  </si>
  <si>
    <t>Opponent Fouls</t>
  </si>
  <si>
    <t>Greece vs Spain</t>
  </si>
  <si>
    <t>Spain</t>
  </si>
  <si>
    <t>1-1</t>
  </si>
  <si>
    <t>Greece vs Russia</t>
  </si>
  <si>
    <t>Russia</t>
  </si>
  <si>
    <t>Greece vs France</t>
  </si>
  <si>
    <t>France</t>
  </si>
  <si>
    <t>Quarter Finals</t>
  </si>
  <si>
    <t>Czechia</t>
  </si>
  <si>
    <t>Semi Finals</t>
  </si>
  <si>
    <t>1-0</t>
  </si>
  <si>
    <t>Final</t>
  </si>
  <si>
    <t>Winner</t>
  </si>
  <si>
    <t>Greece</t>
  </si>
  <si>
    <t>Draw</t>
  </si>
  <si>
    <t>FIFA Ranking Approx.</t>
  </si>
  <si>
    <t>Tournament Favorite?</t>
  </si>
  <si>
    <t>Host Nation</t>
  </si>
  <si>
    <t>Star Player</t>
  </si>
  <si>
    <t>Coach</t>
  </si>
  <si>
    <t>Result vs Greece</t>
  </si>
  <si>
    <t>Yes</t>
  </si>
  <si>
    <t>Cristiano Ronaldo</t>
  </si>
  <si>
    <t>Luiz Felipe Scolari</t>
  </si>
  <si>
    <t>Lost 2-1</t>
  </si>
  <si>
    <t>No</t>
  </si>
  <si>
    <t>Raúl</t>
  </si>
  <si>
    <t>Iñaki Sáez</t>
  </si>
  <si>
    <t>Draw 1-1</t>
  </si>
  <si>
    <t>Jacques Santini</t>
  </si>
  <si>
    <t>Zidane</t>
  </si>
  <si>
    <t>Lost 1-0</t>
  </si>
  <si>
    <t>Won 2-1</t>
  </si>
  <si>
    <t>Georgi Yartsev</t>
  </si>
  <si>
    <t>Karel Brückner</t>
  </si>
  <si>
    <t>TEAMS</t>
  </si>
  <si>
    <t>ENGLAND</t>
  </si>
  <si>
    <t>SWEDEN</t>
  </si>
  <si>
    <t>FRANCE</t>
  </si>
  <si>
    <t>NETHERLANDS</t>
  </si>
  <si>
    <t>DENMARK</t>
  </si>
  <si>
    <t>CROATIA</t>
  </si>
  <si>
    <t>ITALY</t>
  </si>
  <si>
    <t>GERMANY</t>
  </si>
  <si>
    <t>SWITZERLAND</t>
  </si>
  <si>
    <t>LATVIA</t>
  </si>
  <si>
    <t>BULGARIA</t>
  </si>
  <si>
    <t>MATCH PLAYED</t>
  </si>
  <si>
    <t>GOALS</t>
  </si>
  <si>
    <t>GOALS PER MATCH</t>
  </si>
  <si>
    <t>GOALS INSIDE</t>
  </si>
  <si>
    <t>GOALS OUTSIDE</t>
  </si>
  <si>
    <t>TOTAL ATTEMPTS</t>
  </si>
  <si>
    <t>ATTEMPTS ON TARGET</t>
  </si>
  <si>
    <t>ATTEMPTS OFF TARGET</t>
  </si>
  <si>
    <t>ATTEMPTS BLOCKED</t>
  </si>
  <si>
    <t>ATTEMPTS PER MATCH</t>
  </si>
  <si>
    <t>SAVES</t>
  </si>
  <si>
    <t>SAVES PER GAME</t>
  </si>
  <si>
    <t>GOALS CONCEDED</t>
  </si>
  <si>
    <t>GOALS CONCEDED PER GAME</t>
  </si>
  <si>
    <t>FOULS</t>
  </si>
  <si>
    <t>FOULS PER GAME</t>
  </si>
  <si>
    <t>ASSISTS</t>
  </si>
  <si>
    <t>ASSISTS PER GAME</t>
  </si>
  <si>
    <t>Goalscorers</t>
  </si>
  <si>
    <t>Goals</t>
  </si>
  <si>
    <t>M. BAROS</t>
  </si>
  <si>
    <t>W. ROONEY</t>
  </si>
  <si>
    <t>R. v. NISTELROOY</t>
  </si>
  <si>
    <t>J.D. TOMASSON</t>
  </si>
  <si>
    <t>F. LAMPARD</t>
  </si>
  <si>
    <t>Z. ZIDANE</t>
  </si>
  <si>
    <t>A. CHARISTEAS</t>
  </si>
  <si>
    <t>H. LARSSON</t>
  </si>
  <si>
    <t>M. HEINZ</t>
  </si>
  <si>
    <t>T. HENRY</t>
  </si>
  <si>
    <t>R. COSTA</t>
  </si>
  <si>
    <t>C.RONALDO</t>
  </si>
  <si>
    <t>ZLATAN</t>
  </si>
  <si>
    <t>M. OWEN</t>
  </si>
  <si>
    <t>Clean Sheet</t>
  </si>
  <si>
    <t>Knockout Match</t>
  </si>
  <si>
    <t>SHOT ACCURACY %</t>
  </si>
  <si>
    <t>GOAL DIFFERENCE</t>
  </si>
  <si>
    <t>Rank</t>
  </si>
  <si>
    <t>Team</t>
  </si>
  <si>
    <t>ENGALND</t>
  </si>
  <si>
    <t>CZECH REPUBLIC</t>
  </si>
  <si>
    <t>Greece vs Czech Republic</t>
  </si>
  <si>
    <t>Czech Republic</t>
  </si>
  <si>
    <t>Odds</t>
  </si>
  <si>
    <t>4/1</t>
  </si>
  <si>
    <t xml:space="preserve">Probability </t>
  </si>
  <si>
    <t>5/1</t>
  </si>
  <si>
    <t>7/1</t>
  </si>
  <si>
    <t>8/1</t>
  </si>
  <si>
    <t>40/1</t>
  </si>
  <si>
    <t>25/1</t>
  </si>
  <si>
    <t>150/1</t>
  </si>
  <si>
    <t>33/1</t>
  </si>
  <si>
    <t>100/1</t>
  </si>
  <si>
    <t>SQUAD VALUE</t>
  </si>
  <si>
    <t>Nedved</t>
  </si>
  <si>
    <t>Kerzhakov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</si>
</sst>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5BC5-4AE3-4476-AEE6-84B7088AF5B6}">
  <dimension ref="A1:G5"/>
  <sheetViews>
    <sheetView tabSelected="1" workbookViewId="0">
      <selection activeCell="H17" sqref="H17"/>
    </sheetView>
  </sheetViews>
  <sheetFormatPr defaultRowHeight="14.4" x14ac:dyDescent="0.3"/>
  <cols>
    <col min="1" max="1" width="8.88671875" style="1" bestFit="1" customWidth="1"/>
    <col min="2" max="2" width="11.77734375" style="1" customWidth="1"/>
    <col min="3" max="4" width="8.88671875" style="1"/>
  </cols>
  <sheetData>
    <row r="1" spans="1:7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3">
      <c r="A2" s="1">
        <v>1</v>
      </c>
      <c r="B2" s="1" t="s">
        <v>0</v>
      </c>
      <c r="C2" s="1">
        <v>3</v>
      </c>
      <c r="D2" s="1">
        <v>2</v>
      </c>
      <c r="E2" s="1">
        <v>0</v>
      </c>
      <c r="F2" s="1">
        <v>1</v>
      </c>
      <c r="G2" s="1">
        <v>6</v>
      </c>
    </row>
    <row r="3" spans="1:7" x14ac:dyDescent="0.3">
      <c r="A3" s="1">
        <v>2</v>
      </c>
      <c r="B3" s="1" t="s">
        <v>1</v>
      </c>
      <c r="C3" s="1">
        <v>3</v>
      </c>
      <c r="D3" s="1">
        <v>1</v>
      </c>
      <c r="E3" s="1">
        <v>1</v>
      </c>
      <c r="F3" s="1">
        <v>1</v>
      </c>
      <c r="G3" s="1">
        <v>4</v>
      </c>
    </row>
    <row r="4" spans="1:7" x14ac:dyDescent="0.3">
      <c r="A4" s="1">
        <v>3</v>
      </c>
      <c r="B4" s="1" t="s">
        <v>2</v>
      </c>
      <c r="C4" s="1">
        <v>3</v>
      </c>
      <c r="D4" s="1">
        <v>1</v>
      </c>
      <c r="E4" s="1">
        <v>1</v>
      </c>
      <c r="F4" s="1">
        <v>1</v>
      </c>
      <c r="G4" s="1">
        <v>4</v>
      </c>
    </row>
    <row r="5" spans="1:7" x14ac:dyDescent="0.3">
      <c r="A5" s="1">
        <v>4</v>
      </c>
      <c r="B5" s="1" t="s">
        <v>3</v>
      </c>
      <c r="C5" s="1">
        <v>3</v>
      </c>
      <c r="D5" s="1">
        <v>1</v>
      </c>
      <c r="E5" s="1">
        <v>0</v>
      </c>
      <c r="F5" s="1">
        <v>2</v>
      </c>
      <c r="G5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87CD-C60C-4C17-B7F3-FB3A22097F52}">
  <dimension ref="A1:E17"/>
  <sheetViews>
    <sheetView workbookViewId="0">
      <selection activeCell="F10" sqref="F10"/>
    </sheetView>
  </sheetViews>
  <sheetFormatPr defaultRowHeight="14.4" x14ac:dyDescent="0.3"/>
  <cols>
    <col min="1" max="1" width="8.88671875" style="1"/>
    <col min="2" max="2" width="25.5546875" style="1" customWidth="1"/>
    <col min="3" max="3" width="10.33203125" style="1" customWidth="1"/>
    <col min="4" max="4" width="11" style="1" customWidth="1"/>
    <col min="5" max="5" width="8.88671875" style="1"/>
  </cols>
  <sheetData>
    <row r="1" spans="1:4" ht="16.8" customHeight="1" x14ac:dyDescent="0.3">
      <c r="A1" s="8" t="s">
        <v>117</v>
      </c>
      <c r="B1" s="8" t="s">
        <v>118</v>
      </c>
      <c r="C1" s="8" t="s">
        <v>123</v>
      </c>
      <c r="D1" s="8" t="s">
        <v>125</v>
      </c>
    </row>
    <row r="2" spans="1:4" x14ac:dyDescent="0.3">
      <c r="A2" s="1">
        <v>2</v>
      </c>
      <c r="B2" s="1" t="s">
        <v>70</v>
      </c>
      <c r="C2" s="15" t="s">
        <v>124</v>
      </c>
      <c r="D2" s="16">
        <f>1/(4+1)</f>
        <v>0.2</v>
      </c>
    </row>
    <row r="3" spans="1:4" x14ac:dyDescent="0.3">
      <c r="A3" s="1">
        <v>3</v>
      </c>
      <c r="B3" s="1" t="s">
        <v>2</v>
      </c>
      <c r="C3" s="15" t="s">
        <v>127</v>
      </c>
      <c r="D3" s="16">
        <f>1/(7+1)</f>
        <v>0.125</v>
      </c>
    </row>
    <row r="4" spans="1:4" x14ac:dyDescent="0.3">
      <c r="A4" s="1">
        <v>5</v>
      </c>
      <c r="B4" s="1" t="s">
        <v>71</v>
      </c>
      <c r="C4" s="15" t="s">
        <v>128</v>
      </c>
      <c r="D4" s="16">
        <f>1/(8+1)</f>
        <v>0.1111111111111111</v>
      </c>
    </row>
    <row r="5" spans="1:4" x14ac:dyDescent="0.3">
      <c r="A5" s="1">
        <v>8</v>
      </c>
      <c r="B5" s="1" t="s">
        <v>75</v>
      </c>
      <c r="C5" s="15" t="s">
        <v>128</v>
      </c>
      <c r="D5" s="16">
        <f>1/(8+1)</f>
        <v>0.1111111111111111</v>
      </c>
    </row>
    <row r="6" spans="1:4" x14ac:dyDescent="0.3">
      <c r="A6" s="1">
        <v>10</v>
      </c>
      <c r="B6" s="1" t="s">
        <v>74</v>
      </c>
      <c r="C6" s="15" t="s">
        <v>126</v>
      </c>
      <c r="D6" s="16">
        <f>1/(5+1)</f>
        <v>0.16666666666666666</v>
      </c>
    </row>
    <row r="7" spans="1:4" x14ac:dyDescent="0.3">
      <c r="A7" s="1">
        <v>11</v>
      </c>
      <c r="B7" s="1" t="s">
        <v>120</v>
      </c>
      <c r="C7" s="15" t="s">
        <v>132</v>
      </c>
      <c r="D7" s="16">
        <f>1/(33+1)</f>
        <v>2.9411764705882353E-2</v>
      </c>
    </row>
    <row r="8" spans="1:4" x14ac:dyDescent="0.3">
      <c r="A8" s="1">
        <v>13</v>
      </c>
      <c r="B8" s="1" t="s">
        <v>119</v>
      </c>
      <c r="C8" s="15" t="s">
        <v>126</v>
      </c>
      <c r="D8" s="16">
        <f>1/(5+1)</f>
        <v>0.16666666666666666</v>
      </c>
    </row>
    <row r="9" spans="1:4" x14ac:dyDescent="0.3">
      <c r="A9" s="1">
        <v>15</v>
      </c>
      <c r="B9" s="1" t="s">
        <v>72</v>
      </c>
      <c r="C9" s="15" t="s">
        <v>129</v>
      </c>
      <c r="D9" s="16">
        <f>1/(40+1)</f>
        <v>2.4390243902439025E-2</v>
      </c>
    </row>
    <row r="10" spans="1:4" x14ac:dyDescent="0.3">
      <c r="A10" s="1">
        <v>18</v>
      </c>
      <c r="B10" s="1" t="s">
        <v>69</v>
      </c>
      <c r="C10" s="15" t="s">
        <v>130</v>
      </c>
      <c r="D10" s="16">
        <f>1/(25+1)</f>
        <v>3.8461538461538464E-2</v>
      </c>
    </row>
    <row r="11" spans="1:4" x14ac:dyDescent="0.3">
      <c r="A11" s="1">
        <v>20</v>
      </c>
      <c r="B11" s="1" t="s">
        <v>73</v>
      </c>
      <c r="C11" s="15" t="s">
        <v>129</v>
      </c>
      <c r="D11" s="16">
        <f>1/(40+1)</f>
        <v>2.4390243902439025E-2</v>
      </c>
    </row>
    <row r="12" spans="1:4" x14ac:dyDescent="0.3">
      <c r="A12" s="1">
        <v>22</v>
      </c>
      <c r="B12" s="1" t="s">
        <v>0</v>
      </c>
      <c r="C12" s="15" t="s">
        <v>126</v>
      </c>
      <c r="D12" s="16">
        <f>1/(5+1)</f>
        <v>0.16666666666666666</v>
      </c>
    </row>
    <row r="13" spans="1:4" x14ac:dyDescent="0.3">
      <c r="A13" s="1">
        <v>31</v>
      </c>
      <c r="B13" s="1" t="s">
        <v>3</v>
      </c>
      <c r="C13" s="15" t="s">
        <v>130</v>
      </c>
      <c r="D13" s="16">
        <f>1/(25+1)</f>
        <v>3.8461538461538464E-2</v>
      </c>
    </row>
    <row r="14" spans="1:4" x14ac:dyDescent="0.3">
      <c r="A14" s="1">
        <v>35</v>
      </c>
      <c r="B14" s="1" t="s">
        <v>1</v>
      </c>
      <c r="C14" s="15" t="s">
        <v>131</v>
      </c>
      <c r="D14" s="16">
        <f>1/(150+1)</f>
        <v>6.6225165562913907E-3</v>
      </c>
    </row>
    <row r="15" spans="1:4" x14ac:dyDescent="0.3">
      <c r="A15" s="1">
        <v>40</v>
      </c>
      <c r="B15" s="1" t="s">
        <v>78</v>
      </c>
      <c r="C15" s="15" t="s">
        <v>133</v>
      </c>
      <c r="D15" s="16">
        <f>1/(100+1)</f>
        <v>9.9009900990099011E-3</v>
      </c>
    </row>
    <row r="16" spans="1:4" x14ac:dyDescent="0.3">
      <c r="A16" s="1">
        <v>47</v>
      </c>
      <c r="B16" s="1" t="s">
        <v>76</v>
      </c>
      <c r="C16" s="15" t="s">
        <v>131</v>
      </c>
      <c r="D16" s="16">
        <f>1/(150+1)</f>
        <v>6.6225165562913907E-3</v>
      </c>
    </row>
    <row r="17" spans="1:4" x14ac:dyDescent="0.3">
      <c r="A17" s="1">
        <v>53</v>
      </c>
      <c r="B17" s="1" t="s">
        <v>77</v>
      </c>
      <c r="C17" s="15" t="s">
        <v>131</v>
      </c>
      <c r="D17" s="16">
        <f>1/(150+1)</f>
        <v>6.6225165562913907E-3</v>
      </c>
    </row>
  </sheetData>
  <pageMargins left="0.7" right="0.7" top="0.75" bottom="0.75" header="0.3" footer="0.3"/>
  <ignoredErrors>
    <ignoredError sqref="D6:D7 D12 D10 D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7FA2-5EA8-4783-ADD2-EA0BB389CE7A}">
  <dimension ref="A1:S13"/>
  <sheetViews>
    <sheetView zoomScale="90" zoomScaleNormal="90" workbookViewId="0">
      <selection activeCell="O24" sqref="O24"/>
    </sheetView>
  </sheetViews>
  <sheetFormatPr defaultRowHeight="14.4" x14ac:dyDescent="0.3"/>
  <cols>
    <col min="1" max="1" width="22.6640625" style="1" customWidth="1"/>
    <col min="2" max="2" width="10.44140625" style="1" customWidth="1"/>
    <col min="3" max="3" width="12.109375" style="1" customWidth="1"/>
    <col min="4" max="4" width="13.21875" style="1" customWidth="1"/>
    <col min="5" max="6" width="8.88671875" style="1"/>
    <col min="7" max="8" width="10.44140625" customWidth="1"/>
    <col min="10" max="10" width="12.33203125" customWidth="1"/>
    <col min="11" max="11" width="10.109375" customWidth="1"/>
    <col min="12" max="12" width="14.33203125" customWidth="1"/>
    <col min="14" max="14" width="9.88671875" customWidth="1"/>
    <col min="16" max="18" width="10.109375" customWidth="1"/>
    <col min="19" max="19" width="14.88671875" customWidth="1"/>
  </cols>
  <sheetData>
    <row r="1" spans="1:19" ht="28.8" x14ac:dyDescent="0.3">
      <c r="A1" s="4" t="s">
        <v>12</v>
      </c>
      <c r="B1" s="4" t="s">
        <v>23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44</v>
      </c>
      <c r="I1" s="4" t="s">
        <v>24</v>
      </c>
      <c r="J1" s="4" t="s">
        <v>25</v>
      </c>
      <c r="K1" s="4" t="s">
        <v>27</v>
      </c>
      <c r="L1" s="4" t="s">
        <v>28</v>
      </c>
      <c r="M1" s="4" t="s">
        <v>26</v>
      </c>
      <c r="N1" s="4" t="s">
        <v>29</v>
      </c>
      <c r="O1" s="4" t="s">
        <v>30</v>
      </c>
      <c r="P1" s="4" t="s">
        <v>31</v>
      </c>
      <c r="Q1" s="4" t="s">
        <v>114</v>
      </c>
      <c r="R1" s="4" t="s">
        <v>113</v>
      </c>
      <c r="S1" s="4" t="s">
        <v>22</v>
      </c>
    </row>
    <row r="2" spans="1:19" s="1" customFormat="1" x14ac:dyDescent="0.3">
      <c r="A2" s="3" t="s">
        <v>18</v>
      </c>
      <c r="B2" s="7">
        <v>38150</v>
      </c>
      <c r="C2" s="3" t="s">
        <v>21</v>
      </c>
      <c r="D2" s="3" t="s">
        <v>19</v>
      </c>
      <c r="E2" s="5" t="s">
        <v>20</v>
      </c>
      <c r="F2" s="3">
        <v>2</v>
      </c>
      <c r="G2" s="3">
        <v>1</v>
      </c>
      <c r="H2" s="3" t="s">
        <v>45</v>
      </c>
      <c r="I2" s="3">
        <v>8</v>
      </c>
      <c r="J2" s="3">
        <v>4</v>
      </c>
      <c r="K2" s="3">
        <v>19</v>
      </c>
      <c r="L2" s="3">
        <v>5</v>
      </c>
      <c r="M2" s="1">
        <v>3</v>
      </c>
      <c r="N2" s="1">
        <v>10</v>
      </c>
      <c r="O2" s="1">
        <v>24</v>
      </c>
      <c r="P2" s="1">
        <v>21</v>
      </c>
      <c r="Q2" s="1" t="s">
        <v>57</v>
      </c>
      <c r="R2" s="1" t="s">
        <v>57</v>
      </c>
      <c r="S2" s="3" t="s">
        <v>21</v>
      </c>
    </row>
    <row r="3" spans="1:19" s="1" customFormat="1" x14ac:dyDescent="0.3">
      <c r="A3" s="3" t="s">
        <v>32</v>
      </c>
      <c r="B3" s="7">
        <v>38154</v>
      </c>
      <c r="C3" s="1" t="s">
        <v>33</v>
      </c>
      <c r="D3" s="3" t="s">
        <v>19</v>
      </c>
      <c r="E3" s="5" t="s">
        <v>34</v>
      </c>
      <c r="F3" s="1">
        <v>1</v>
      </c>
      <c r="G3" s="1">
        <v>1</v>
      </c>
      <c r="H3" s="1" t="s">
        <v>46</v>
      </c>
      <c r="I3" s="1">
        <v>9</v>
      </c>
      <c r="J3" s="1">
        <v>2</v>
      </c>
      <c r="K3" s="1">
        <v>11</v>
      </c>
      <c r="L3" s="1">
        <v>2</v>
      </c>
      <c r="M3" s="1">
        <v>2</v>
      </c>
      <c r="N3" s="1">
        <v>15</v>
      </c>
      <c r="O3" s="1">
        <v>17</v>
      </c>
      <c r="P3" s="1">
        <v>20</v>
      </c>
      <c r="Q3" s="1" t="s">
        <v>57</v>
      </c>
      <c r="R3" s="1" t="s">
        <v>57</v>
      </c>
      <c r="S3" s="1" t="s">
        <v>33</v>
      </c>
    </row>
    <row r="4" spans="1:19" s="1" customFormat="1" x14ac:dyDescent="0.3">
      <c r="A4" s="3" t="s">
        <v>35</v>
      </c>
      <c r="B4" s="7">
        <v>38158</v>
      </c>
      <c r="C4" s="1" t="s">
        <v>36</v>
      </c>
      <c r="D4" s="3" t="s">
        <v>19</v>
      </c>
      <c r="E4" s="5" t="s">
        <v>11</v>
      </c>
      <c r="F4" s="1">
        <v>1</v>
      </c>
      <c r="G4" s="1">
        <v>2</v>
      </c>
      <c r="H4" s="1" t="s">
        <v>36</v>
      </c>
      <c r="I4" s="1">
        <v>12</v>
      </c>
      <c r="J4" s="1">
        <v>4</v>
      </c>
      <c r="K4" s="1">
        <v>18</v>
      </c>
      <c r="L4" s="1">
        <v>9</v>
      </c>
      <c r="M4" s="1">
        <v>8</v>
      </c>
      <c r="N4" s="1">
        <v>5</v>
      </c>
      <c r="O4" s="1">
        <v>16</v>
      </c>
      <c r="P4" s="1">
        <v>18</v>
      </c>
      <c r="Q4" s="1" t="s">
        <v>57</v>
      </c>
      <c r="R4" s="1" t="s">
        <v>57</v>
      </c>
      <c r="S4" s="1" t="s">
        <v>36</v>
      </c>
    </row>
    <row r="5" spans="1:19" s="1" customFormat="1" x14ac:dyDescent="0.3">
      <c r="A5" s="3" t="s">
        <v>37</v>
      </c>
      <c r="B5" s="7">
        <v>38163</v>
      </c>
      <c r="C5" s="1" t="s">
        <v>38</v>
      </c>
      <c r="D5" s="1" t="s">
        <v>39</v>
      </c>
      <c r="E5" s="5" t="s">
        <v>42</v>
      </c>
      <c r="F5" s="1">
        <v>1</v>
      </c>
      <c r="G5" s="1">
        <v>0</v>
      </c>
      <c r="H5" s="3" t="s">
        <v>45</v>
      </c>
      <c r="I5" s="1">
        <v>5</v>
      </c>
      <c r="J5" s="1">
        <v>5</v>
      </c>
      <c r="K5" s="1">
        <v>11</v>
      </c>
      <c r="L5" s="1">
        <v>4</v>
      </c>
      <c r="M5" s="1">
        <v>3</v>
      </c>
      <c r="N5" s="1">
        <v>3</v>
      </c>
      <c r="O5" s="1">
        <v>14</v>
      </c>
      <c r="P5" s="1">
        <v>23</v>
      </c>
      <c r="Q5" s="1" t="s">
        <v>53</v>
      </c>
      <c r="R5" s="1" t="s">
        <v>53</v>
      </c>
      <c r="S5" s="1" t="s">
        <v>38</v>
      </c>
    </row>
    <row r="6" spans="1:19" s="1" customFormat="1" x14ac:dyDescent="0.3">
      <c r="A6" s="3" t="s">
        <v>121</v>
      </c>
      <c r="B6" s="2">
        <v>38169</v>
      </c>
      <c r="C6" s="1" t="s">
        <v>40</v>
      </c>
      <c r="D6" s="1" t="s">
        <v>41</v>
      </c>
      <c r="E6" s="5" t="s">
        <v>42</v>
      </c>
      <c r="F6" s="1">
        <v>1</v>
      </c>
      <c r="G6" s="1">
        <v>0</v>
      </c>
      <c r="H6" s="3" t="s">
        <v>45</v>
      </c>
      <c r="I6" s="1">
        <v>9</v>
      </c>
      <c r="J6" s="1">
        <v>5</v>
      </c>
      <c r="K6" s="1">
        <v>16</v>
      </c>
      <c r="L6" s="1">
        <v>5</v>
      </c>
      <c r="M6" s="1">
        <v>4</v>
      </c>
      <c r="N6" s="1">
        <v>8</v>
      </c>
      <c r="O6" s="1">
        <v>16</v>
      </c>
      <c r="P6" s="1">
        <v>27</v>
      </c>
      <c r="Q6" s="1" t="s">
        <v>53</v>
      </c>
      <c r="R6" s="1" t="s">
        <v>53</v>
      </c>
      <c r="S6" s="1" t="s">
        <v>122</v>
      </c>
    </row>
    <row r="7" spans="1:19" s="1" customFormat="1" x14ac:dyDescent="0.3">
      <c r="A7" s="3" t="s">
        <v>18</v>
      </c>
      <c r="B7" s="7">
        <v>38172</v>
      </c>
      <c r="C7" s="3" t="s">
        <v>21</v>
      </c>
      <c r="D7" s="1" t="s">
        <v>43</v>
      </c>
      <c r="E7" s="5" t="s">
        <v>42</v>
      </c>
      <c r="F7" s="1">
        <v>1</v>
      </c>
      <c r="G7" s="1">
        <v>0</v>
      </c>
      <c r="H7" s="3" t="s">
        <v>45</v>
      </c>
      <c r="I7" s="1">
        <v>4</v>
      </c>
      <c r="J7" s="1">
        <v>1</v>
      </c>
      <c r="K7" s="1">
        <v>17</v>
      </c>
      <c r="L7" s="1">
        <v>5</v>
      </c>
      <c r="M7" s="1">
        <v>1</v>
      </c>
      <c r="N7" s="1">
        <v>10</v>
      </c>
      <c r="O7" s="1">
        <v>21</v>
      </c>
      <c r="P7" s="1">
        <v>19</v>
      </c>
      <c r="Q7" s="1" t="s">
        <v>53</v>
      </c>
      <c r="R7" s="1" t="s">
        <v>53</v>
      </c>
      <c r="S7" s="3" t="s">
        <v>21</v>
      </c>
    </row>
    <row r="8" spans="1:19" s="1" customFormat="1" x14ac:dyDescent="0.3">
      <c r="B8" s="7"/>
      <c r="E8" s="5"/>
    </row>
    <row r="9" spans="1:19" s="1" customFormat="1" x14ac:dyDescent="0.3">
      <c r="B9" s="7"/>
      <c r="E9" s="5"/>
    </row>
    <row r="10" spans="1:19" s="1" customFormat="1" x14ac:dyDescent="0.3"/>
    <row r="11" spans="1:19" s="1" customFormat="1" x14ac:dyDescent="0.3"/>
    <row r="12" spans="1:19" s="1" customFormat="1" x14ac:dyDescent="0.3"/>
    <row r="13" spans="1:19" s="1" customFormat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EFF6-B413-4A0D-BECA-1B26ED9D0D07}">
  <dimension ref="A1:V17"/>
  <sheetViews>
    <sheetView zoomScale="80" zoomScaleNormal="80" workbookViewId="0">
      <selection activeCell="E13" sqref="E13"/>
    </sheetView>
  </sheetViews>
  <sheetFormatPr defaultRowHeight="14.4" x14ac:dyDescent="0.3"/>
  <cols>
    <col min="1" max="1" width="16.21875" style="1" customWidth="1"/>
    <col min="2" max="2" width="11.6640625" style="1" customWidth="1"/>
    <col min="3" max="3" width="8.88671875" style="1"/>
    <col min="4" max="4" width="12" style="1" customWidth="1"/>
    <col min="5" max="5" width="10.6640625" style="1" customWidth="1"/>
    <col min="6" max="6" width="10.44140625" style="1" customWidth="1"/>
    <col min="7" max="8" width="11.44140625" style="1" customWidth="1"/>
    <col min="9" max="9" width="13.33203125" style="1" customWidth="1"/>
    <col min="10" max="10" width="14.5546875" style="1" customWidth="1"/>
    <col min="11" max="11" width="13.33203125" style="1" customWidth="1"/>
    <col min="12" max="12" width="12.21875" style="1" customWidth="1"/>
    <col min="13" max="13" width="8.5546875" style="1" customWidth="1"/>
    <col min="14" max="14" width="10.5546875" style="1" customWidth="1"/>
    <col min="16" max="16" width="10.44140625" customWidth="1"/>
    <col min="17" max="19" width="12" customWidth="1"/>
    <col min="21" max="21" width="11.77734375" customWidth="1"/>
    <col min="22" max="22" width="8.88671875" style="1"/>
  </cols>
  <sheetData>
    <row r="1" spans="1:22" s="11" customFormat="1" ht="44.4" customHeight="1" x14ac:dyDescent="0.3">
      <c r="A1" s="8" t="s">
        <v>67</v>
      </c>
      <c r="B1" s="10" t="s">
        <v>79</v>
      </c>
      <c r="C1" s="8" t="s">
        <v>80</v>
      </c>
      <c r="D1" s="10" t="s">
        <v>81</v>
      </c>
      <c r="E1" s="10" t="s">
        <v>82</v>
      </c>
      <c r="F1" s="10" t="s">
        <v>83</v>
      </c>
      <c r="G1" s="10" t="s">
        <v>84</v>
      </c>
      <c r="H1" s="10" t="s">
        <v>88</v>
      </c>
      <c r="I1" s="10" t="s">
        <v>85</v>
      </c>
      <c r="J1" s="10" t="s">
        <v>86</v>
      </c>
      <c r="K1" s="10" t="s">
        <v>115</v>
      </c>
      <c r="L1" s="10" t="s">
        <v>87</v>
      </c>
      <c r="M1" s="8" t="s">
        <v>95</v>
      </c>
      <c r="N1" s="10" t="s">
        <v>96</v>
      </c>
      <c r="O1" s="8" t="s">
        <v>89</v>
      </c>
      <c r="P1" s="10" t="s">
        <v>90</v>
      </c>
      <c r="Q1" s="10" t="s">
        <v>91</v>
      </c>
      <c r="R1" s="10" t="s">
        <v>92</v>
      </c>
      <c r="S1" s="10" t="s">
        <v>116</v>
      </c>
      <c r="T1" s="8" t="s">
        <v>93</v>
      </c>
      <c r="U1" s="10" t="s">
        <v>94</v>
      </c>
      <c r="V1" s="10" t="s">
        <v>134</v>
      </c>
    </row>
    <row r="2" spans="1:22" x14ac:dyDescent="0.3">
      <c r="A2" s="1" t="s">
        <v>120</v>
      </c>
      <c r="B2" s="1">
        <v>5</v>
      </c>
      <c r="C2" s="1">
        <v>10</v>
      </c>
      <c r="D2" s="9">
        <f>C2/B2</f>
        <v>2</v>
      </c>
      <c r="E2" s="1">
        <v>9</v>
      </c>
      <c r="F2" s="1">
        <f>C2-E2</f>
        <v>1</v>
      </c>
      <c r="G2" s="1">
        <f>I2+J2+L2</f>
        <v>87</v>
      </c>
      <c r="H2" s="9">
        <f>G2/B2</f>
        <v>17.399999999999999</v>
      </c>
      <c r="I2" s="1">
        <v>35</v>
      </c>
      <c r="J2" s="1">
        <v>40</v>
      </c>
      <c r="K2" s="9">
        <f>I2/G2</f>
        <v>0.40229885057471265</v>
      </c>
      <c r="L2" s="1">
        <v>12</v>
      </c>
      <c r="M2" s="1">
        <v>7</v>
      </c>
      <c r="N2" s="9">
        <f>M2/B2</f>
        <v>1.4</v>
      </c>
      <c r="O2" s="1">
        <v>20</v>
      </c>
      <c r="P2" s="9">
        <f>O2/B2</f>
        <v>4</v>
      </c>
      <c r="Q2" s="1">
        <v>5</v>
      </c>
      <c r="R2" s="9">
        <f>Q2/B2</f>
        <v>1</v>
      </c>
      <c r="S2" s="14">
        <f>C2-Q2</f>
        <v>5</v>
      </c>
      <c r="T2" s="1">
        <v>96</v>
      </c>
      <c r="U2" s="9">
        <f>T2/B2</f>
        <v>19.2</v>
      </c>
      <c r="V2" s="1">
        <v>173</v>
      </c>
    </row>
    <row r="3" spans="1:22" x14ac:dyDescent="0.3">
      <c r="A3" s="1" t="s">
        <v>68</v>
      </c>
      <c r="B3" s="1">
        <v>4</v>
      </c>
      <c r="C3" s="1">
        <v>10</v>
      </c>
      <c r="D3" s="9">
        <f t="shared" ref="D3:D17" si="0">C3/B3</f>
        <v>2.5</v>
      </c>
      <c r="E3" s="1">
        <v>8</v>
      </c>
      <c r="F3" s="1">
        <f t="shared" ref="F3:F17" si="1">C3-E3</f>
        <v>2</v>
      </c>
      <c r="G3" s="1">
        <f t="shared" ref="G3:G17" si="2">I3+J3+L3</f>
        <v>55</v>
      </c>
      <c r="H3" s="9">
        <f t="shared" ref="H3:H17" si="3">G3/B3</f>
        <v>13.75</v>
      </c>
      <c r="I3" s="1">
        <v>33</v>
      </c>
      <c r="J3" s="1">
        <v>12</v>
      </c>
      <c r="K3" s="9">
        <f t="shared" ref="K3:K17" si="4">I3/G3</f>
        <v>0.6</v>
      </c>
      <c r="L3" s="1">
        <v>10</v>
      </c>
      <c r="M3" s="1">
        <v>9</v>
      </c>
      <c r="N3" s="9">
        <f t="shared" ref="N3:N17" si="5">M3/B3</f>
        <v>2.25</v>
      </c>
      <c r="O3" s="1">
        <v>17</v>
      </c>
      <c r="P3" s="9">
        <f t="shared" ref="P3:P17" si="6">O3/B3</f>
        <v>4.25</v>
      </c>
      <c r="Q3" s="1">
        <v>6</v>
      </c>
      <c r="R3" s="9">
        <f t="shared" ref="R3:R17" si="7">Q3/B3</f>
        <v>1.5</v>
      </c>
      <c r="S3" s="14">
        <f t="shared" ref="S3:S17" si="8">C3-Q3</f>
        <v>4</v>
      </c>
      <c r="T3" s="1">
        <v>77</v>
      </c>
      <c r="U3" s="9">
        <f t="shared" ref="U3:U17" si="9">T3/B3</f>
        <v>19.25</v>
      </c>
      <c r="V3" s="1">
        <v>474</v>
      </c>
    </row>
    <row r="4" spans="1:22" x14ac:dyDescent="0.3">
      <c r="A4" s="1" t="s">
        <v>0</v>
      </c>
      <c r="B4" s="1">
        <v>6</v>
      </c>
      <c r="C4" s="1">
        <v>8</v>
      </c>
      <c r="D4" s="9">
        <f t="shared" si="0"/>
        <v>1.3333333333333333</v>
      </c>
      <c r="E4" s="1">
        <v>7</v>
      </c>
      <c r="F4" s="1">
        <f t="shared" si="1"/>
        <v>1</v>
      </c>
      <c r="G4" s="1">
        <f>I4+J4+L4</f>
        <v>113</v>
      </c>
      <c r="H4" s="9">
        <f t="shared" si="3"/>
        <v>18.833333333333332</v>
      </c>
      <c r="I4" s="1">
        <v>40</v>
      </c>
      <c r="J4" s="1">
        <v>51</v>
      </c>
      <c r="K4" s="9">
        <f>I4/G4</f>
        <v>0.35398230088495575</v>
      </c>
      <c r="L4" s="1">
        <v>22</v>
      </c>
      <c r="M4" s="1">
        <v>6</v>
      </c>
      <c r="N4" s="9">
        <f t="shared" si="5"/>
        <v>1</v>
      </c>
      <c r="O4" s="1">
        <v>10</v>
      </c>
      <c r="P4" s="9">
        <f t="shared" si="6"/>
        <v>1.6666666666666667</v>
      </c>
      <c r="Q4" s="1">
        <v>6</v>
      </c>
      <c r="R4" s="9">
        <f t="shared" si="7"/>
        <v>1</v>
      </c>
      <c r="S4" s="14">
        <f t="shared" si="8"/>
        <v>2</v>
      </c>
      <c r="T4" s="1">
        <v>121</v>
      </c>
      <c r="U4" s="9">
        <f t="shared" si="9"/>
        <v>20.166666666666668</v>
      </c>
      <c r="V4" s="1">
        <v>300</v>
      </c>
    </row>
    <row r="5" spans="1:22" x14ac:dyDescent="0.3">
      <c r="A5" s="1" t="s">
        <v>69</v>
      </c>
      <c r="B5" s="1">
        <v>4</v>
      </c>
      <c r="C5" s="1">
        <v>8</v>
      </c>
      <c r="D5" s="9">
        <f t="shared" si="0"/>
        <v>2</v>
      </c>
      <c r="E5" s="1">
        <v>7</v>
      </c>
      <c r="F5" s="1">
        <f t="shared" si="1"/>
        <v>1</v>
      </c>
      <c r="G5" s="1">
        <f t="shared" si="2"/>
        <v>56</v>
      </c>
      <c r="H5" s="9">
        <f t="shared" si="3"/>
        <v>14</v>
      </c>
      <c r="I5" s="1">
        <v>27</v>
      </c>
      <c r="J5" s="1">
        <v>23</v>
      </c>
      <c r="K5" s="9">
        <f t="shared" si="4"/>
        <v>0.48214285714285715</v>
      </c>
      <c r="L5" s="1">
        <v>6</v>
      </c>
      <c r="M5" s="1">
        <v>4</v>
      </c>
      <c r="N5" s="9">
        <f t="shared" si="5"/>
        <v>1</v>
      </c>
      <c r="O5" s="1">
        <v>20</v>
      </c>
      <c r="P5" s="9">
        <f t="shared" si="6"/>
        <v>5</v>
      </c>
      <c r="Q5" s="1">
        <v>3</v>
      </c>
      <c r="R5" s="9">
        <f t="shared" si="7"/>
        <v>0.75</v>
      </c>
      <c r="S5" s="14">
        <f t="shared" si="8"/>
        <v>5</v>
      </c>
      <c r="T5" s="1">
        <v>82</v>
      </c>
      <c r="U5" s="9">
        <f t="shared" si="9"/>
        <v>20.5</v>
      </c>
      <c r="V5" s="1">
        <v>121</v>
      </c>
    </row>
    <row r="6" spans="1:22" x14ac:dyDescent="0.3">
      <c r="A6" s="1" t="s">
        <v>70</v>
      </c>
      <c r="B6" s="1">
        <v>4</v>
      </c>
      <c r="C6" s="1">
        <v>7</v>
      </c>
      <c r="D6" s="9">
        <f t="shared" si="0"/>
        <v>1.75</v>
      </c>
      <c r="E6" s="1">
        <v>5</v>
      </c>
      <c r="F6" s="1">
        <f t="shared" si="1"/>
        <v>2</v>
      </c>
      <c r="G6" s="1">
        <f t="shared" si="2"/>
        <v>54</v>
      </c>
      <c r="H6" s="9">
        <f t="shared" si="3"/>
        <v>13.5</v>
      </c>
      <c r="I6" s="1">
        <v>24</v>
      </c>
      <c r="J6" s="1">
        <v>28</v>
      </c>
      <c r="K6" s="9">
        <f t="shared" si="4"/>
        <v>0.44444444444444442</v>
      </c>
      <c r="L6" s="1">
        <v>2</v>
      </c>
      <c r="M6" s="1">
        <v>2</v>
      </c>
      <c r="N6" s="9">
        <f t="shared" si="5"/>
        <v>0.5</v>
      </c>
      <c r="O6" s="1">
        <v>10</v>
      </c>
      <c r="P6" s="9">
        <f t="shared" si="6"/>
        <v>2.5</v>
      </c>
      <c r="Q6" s="1">
        <v>5</v>
      </c>
      <c r="R6" s="9">
        <f t="shared" si="7"/>
        <v>1.25</v>
      </c>
      <c r="S6" s="14">
        <f t="shared" si="8"/>
        <v>2</v>
      </c>
      <c r="T6" s="1">
        <v>71</v>
      </c>
      <c r="U6" s="9">
        <f t="shared" si="9"/>
        <v>17.75</v>
      </c>
      <c r="V6" s="1">
        <v>444</v>
      </c>
    </row>
    <row r="7" spans="1:22" x14ac:dyDescent="0.3">
      <c r="A7" s="1" t="s">
        <v>1</v>
      </c>
      <c r="B7" s="1">
        <v>6</v>
      </c>
      <c r="C7" s="1">
        <v>7</v>
      </c>
      <c r="D7" s="9">
        <f t="shared" si="0"/>
        <v>1.1666666666666667</v>
      </c>
      <c r="E7" s="1">
        <v>6</v>
      </c>
      <c r="F7" s="1">
        <f t="shared" si="1"/>
        <v>1</v>
      </c>
      <c r="G7" s="1">
        <f t="shared" si="2"/>
        <v>47</v>
      </c>
      <c r="H7" s="9">
        <f t="shared" si="3"/>
        <v>7.833333333333333</v>
      </c>
      <c r="I7" s="1">
        <v>21</v>
      </c>
      <c r="J7" s="1">
        <v>21</v>
      </c>
      <c r="K7" s="9">
        <f t="shared" si="4"/>
        <v>0.44680851063829785</v>
      </c>
      <c r="L7" s="1">
        <v>5</v>
      </c>
      <c r="M7" s="1">
        <v>5</v>
      </c>
      <c r="N7" s="9">
        <f t="shared" si="5"/>
        <v>0.83333333333333337</v>
      </c>
      <c r="O7" s="1">
        <v>22</v>
      </c>
      <c r="P7" s="9">
        <f t="shared" si="6"/>
        <v>3.6666666666666665</v>
      </c>
      <c r="Q7" s="1">
        <v>4</v>
      </c>
      <c r="R7" s="9">
        <f t="shared" si="7"/>
        <v>0.66666666666666663</v>
      </c>
      <c r="S7" s="14">
        <f t="shared" si="8"/>
        <v>3</v>
      </c>
      <c r="T7" s="1">
        <v>108</v>
      </c>
      <c r="U7" s="9">
        <f t="shared" si="9"/>
        <v>18</v>
      </c>
      <c r="V7" s="1">
        <v>92</v>
      </c>
    </row>
    <row r="8" spans="1:22" x14ac:dyDescent="0.3">
      <c r="A8" s="1" t="s">
        <v>71</v>
      </c>
      <c r="B8" s="1">
        <v>5</v>
      </c>
      <c r="C8" s="1">
        <v>7</v>
      </c>
      <c r="D8" s="9">
        <f t="shared" si="0"/>
        <v>1.4</v>
      </c>
      <c r="E8" s="1">
        <v>6</v>
      </c>
      <c r="F8" s="1">
        <f t="shared" si="1"/>
        <v>1</v>
      </c>
      <c r="G8" s="1">
        <f t="shared" si="2"/>
        <v>86</v>
      </c>
      <c r="H8" s="9">
        <f t="shared" si="3"/>
        <v>17.2</v>
      </c>
      <c r="I8" s="1">
        <v>42</v>
      </c>
      <c r="J8" s="1">
        <v>34</v>
      </c>
      <c r="K8" s="9">
        <f t="shared" si="4"/>
        <v>0.48837209302325579</v>
      </c>
      <c r="L8" s="1">
        <v>10</v>
      </c>
      <c r="M8" s="1">
        <v>5</v>
      </c>
      <c r="N8" s="9">
        <f t="shared" si="5"/>
        <v>1</v>
      </c>
      <c r="O8" s="1">
        <v>20</v>
      </c>
      <c r="P8" s="9">
        <f t="shared" si="6"/>
        <v>4</v>
      </c>
      <c r="Q8" s="1">
        <v>6</v>
      </c>
      <c r="R8" s="9">
        <f t="shared" si="7"/>
        <v>1.2</v>
      </c>
      <c r="S8" s="14">
        <f t="shared" si="8"/>
        <v>1</v>
      </c>
      <c r="T8" s="1">
        <v>105</v>
      </c>
      <c r="U8" s="9">
        <f t="shared" si="9"/>
        <v>21</v>
      </c>
      <c r="V8" s="1">
        <v>293</v>
      </c>
    </row>
    <row r="9" spans="1:22" x14ac:dyDescent="0.3">
      <c r="A9" s="1" t="s">
        <v>72</v>
      </c>
      <c r="B9" s="1">
        <v>4</v>
      </c>
      <c r="C9" s="1">
        <v>4</v>
      </c>
      <c r="D9" s="9">
        <f t="shared" si="0"/>
        <v>1</v>
      </c>
      <c r="E9" s="1">
        <v>3</v>
      </c>
      <c r="F9" s="1">
        <f t="shared" si="1"/>
        <v>1</v>
      </c>
      <c r="G9" s="1">
        <f t="shared" si="2"/>
        <v>54</v>
      </c>
      <c r="H9" s="9">
        <f t="shared" si="3"/>
        <v>13.5</v>
      </c>
      <c r="I9" s="1">
        <v>21</v>
      </c>
      <c r="J9" s="1">
        <v>20</v>
      </c>
      <c r="K9" s="9">
        <f t="shared" si="4"/>
        <v>0.3888888888888889</v>
      </c>
      <c r="L9" s="1">
        <v>13</v>
      </c>
      <c r="M9" s="1">
        <v>3</v>
      </c>
      <c r="N9" s="9">
        <f t="shared" si="5"/>
        <v>0.75</v>
      </c>
      <c r="O9" s="1">
        <v>11</v>
      </c>
      <c r="P9" s="9">
        <f t="shared" si="6"/>
        <v>2.75</v>
      </c>
      <c r="Q9" s="1">
        <v>5</v>
      </c>
      <c r="R9" s="9">
        <f t="shared" si="7"/>
        <v>1.25</v>
      </c>
      <c r="S9" s="14">
        <f t="shared" si="8"/>
        <v>-1</v>
      </c>
      <c r="T9" s="1">
        <v>75</v>
      </c>
      <c r="U9" s="9">
        <f t="shared" si="9"/>
        <v>18.75</v>
      </c>
      <c r="V9" s="1">
        <v>123</v>
      </c>
    </row>
    <row r="10" spans="1:22" x14ac:dyDescent="0.3">
      <c r="A10" s="1" t="s">
        <v>73</v>
      </c>
      <c r="B10" s="1">
        <v>3</v>
      </c>
      <c r="C10" s="1">
        <v>4</v>
      </c>
      <c r="D10" s="9">
        <f t="shared" si="0"/>
        <v>1.3333333333333333</v>
      </c>
      <c r="E10" s="1">
        <v>5</v>
      </c>
      <c r="F10" s="1">
        <f t="shared" si="1"/>
        <v>-1</v>
      </c>
      <c r="G10" s="1">
        <f t="shared" si="2"/>
        <v>37</v>
      </c>
      <c r="H10" s="9">
        <f t="shared" si="3"/>
        <v>12.333333333333334</v>
      </c>
      <c r="I10" s="1">
        <v>19</v>
      </c>
      <c r="J10" s="1">
        <v>13</v>
      </c>
      <c r="K10" s="9">
        <f t="shared" si="4"/>
        <v>0.51351351351351349</v>
      </c>
      <c r="L10" s="1">
        <v>5</v>
      </c>
      <c r="M10" s="1">
        <v>2</v>
      </c>
      <c r="N10" s="9">
        <f t="shared" si="5"/>
        <v>0.66666666666666663</v>
      </c>
      <c r="O10" s="1">
        <v>19</v>
      </c>
      <c r="P10" s="9">
        <f t="shared" si="6"/>
        <v>6.333333333333333</v>
      </c>
      <c r="Q10" s="1">
        <v>6</v>
      </c>
      <c r="R10" s="9">
        <f t="shared" si="7"/>
        <v>2</v>
      </c>
      <c r="S10" s="14">
        <f t="shared" si="8"/>
        <v>-2</v>
      </c>
      <c r="T10" s="1">
        <v>55</v>
      </c>
      <c r="U10" s="9">
        <f t="shared" si="9"/>
        <v>18.333333333333332</v>
      </c>
      <c r="V10" s="1">
        <v>95</v>
      </c>
    </row>
    <row r="11" spans="1:22" x14ac:dyDescent="0.3">
      <c r="A11" s="1" t="s">
        <v>74</v>
      </c>
      <c r="B11" s="1">
        <v>3</v>
      </c>
      <c r="C11" s="1">
        <v>3</v>
      </c>
      <c r="D11" s="9">
        <f t="shared" si="0"/>
        <v>1</v>
      </c>
      <c r="E11" s="1">
        <v>3</v>
      </c>
      <c r="F11" s="1">
        <f t="shared" si="1"/>
        <v>0</v>
      </c>
      <c r="G11" s="1">
        <f t="shared" si="2"/>
        <v>56</v>
      </c>
      <c r="H11" s="9">
        <f t="shared" si="3"/>
        <v>18.666666666666668</v>
      </c>
      <c r="I11" s="1">
        <v>26</v>
      </c>
      <c r="J11" s="1">
        <v>27</v>
      </c>
      <c r="K11" s="9">
        <f t="shared" si="4"/>
        <v>0.4642857142857143</v>
      </c>
      <c r="L11" s="1">
        <v>3</v>
      </c>
      <c r="M11" s="1">
        <v>2</v>
      </c>
      <c r="N11" s="9">
        <f t="shared" si="5"/>
        <v>0.66666666666666663</v>
      </c>
      <c r="O11" s="1">
        <v>13</v>
      </c>
      <c r="P11" s="9">
        <f t="shared" si="6"/>
        <v>4.333333333333333</v>
      </c>
      <c r="Q11" s="1">
        <v>2</v>
      </c>
      <c r="R11" s="9">
        <f t="shared" si="7"/>
        <v>0.66666666666666663</v>
      </c>
      <c r="S11" s="14">
        <f t="shared" si="8"/>
        <v>1</v>
      </c>
      <c r="T11" s="1">
        <v>54</v>
      </c>
      <c r="U11" s="9">
        <f t="shared" si="9"/>
        <v>18</v>
      </c>
      <c r="V11" s="1">
        <v>540</v>
      </c>
    </row>
    <row r="12" spans="1:22" x14ac:dyDescent="0.3">
      <c r="A12" s="1" t="s">
        <v>75</v>
      </c>
      <c r="B12" s="1">
        <v>3</v>
      </c>
      <c r="C12" s="1">
        <v>2</v>
      </c>
      <c r="D12" s="9">
        <f t="shared" si="0"/>
        <v>0.66666666666666663</v>
      </c>
      <c r="E12" s="1">
        <v>0</v>
      </c>
      <c r="F12" s="1">
        <f t="shared" si="1"/>
        <v>2</v>
      </c>
      <c r="G12" s="1">
        <f t="shared" si="2"/>
        <v>55</v>
      </c>
      <c r="H12" s="9">
        <f t="shared" si="3"/>
        <v>18.333333333333332</v>
      </c>
      <c r="I12" s="1">
        <v>24</v>
      </c>
      <c r="J12" s="1">
        <v>29</v>
      </c>
      <c r="K12" s="9">
        <f t="shared" si="4"/>
        <v>0.43636363636363634</v>
      </c>
      <c r="L12" s="1">
        <v>2</v>
      </c>
      <c r="M12" s="1">
        <v>1</v>
      </c>
      <c r="N12" s="9">
        <f t="shared" si="5"/>
        <v>0.33333333333333331</v>
      </c>
      <c r="O12" s="1">
        <v>12</v>
      </c>
      <c r="P12" s="9">
        <f t="shared" si="6"/>
        <v>4</v>
      </c>
      <c r="Q12" s="1">
        <v>3</v>
      </c>
      <c r="R12" s="9">
        <f t="shared" si="7"/>
        <v>1</v>
      </c>
      <c r="S12" s="14">
        <f t="shared" si="8"/>
        <v>-1</v>
      </c>
      <c r="T12" s="1">
        <v>56</v>
      </c>
      <c r="U12" s="9">
        <f t="shared" si="9"/>
        <v>18.666666666666668</v>
      </c>
      <c r="V12" s="1">
        <v>215</v>
      </c>
    </row>
    <row r="13" spans="1:22" x14ac:dyDescent="0.3">
      <c r="A13" s="1" t="s">
        <v>2</v>
      </c>
      <c r="B13" s="1">
        <v>3</v>
      </c>
      <c r="C13" s="1">
        <v>2</v>
      </c>
      <c r="D13" s="9">
        <f t="shared" si="0"/>
        <v>0.66666666666666663</v>
      </c>
      <c r="E13" s="1">
        <v>2</v>
      </c>
      <c r="F13" s="1">
        <f t="shared" si="1"/>
        <v>0</v>
      </c>
      <c r="G13" s="1">
        <f t="shared" si="2"/>
        <v>30</v>
      </c>
      <c r="H13" s="9">
        <f t="shared" si="3"/>
        <v>10</v>
      </c>
      <c r="I13" s="1">
        <v>8</v>
      </c>
      <c r="J13" s="1">
        <v>20</v>
      </c>
      <c r="K13" s="9">
        <f t="shared" si="4"/>
        <v>0.26666666666666666</v>
      </c>
      <c r="L13" s="1">
        <v>2</v>
      </c>
      <c r="M13" s="1">
        <v>2</v>
      </c>
      <c r="N13" s="9">
        <f t="shared" si="5"/>
        <v>0.66666666666666663</v>
      </c>
      <c r="O13" s="1">
        <v>9</v>
      </c>
      <c r="P13" s="9">
        <f t="shared" si="6"/>
        <v>3</v>
      </c>
      <c r="Q13" s="1">
        <v>2</v>
      </c>
      <c r="R13" s="9">
        <f t="shared" si="7"/>
        <v>0.66666666666666663</v>
      </c>
      <c r="S13" s="14">
        <f t="shared" si="8"/>
        <v>0</v>
      </c>
      <c r="T13" s="1">
        <v>55</v>
      </c>
      <c r="U13" s="9">
        <f t="shared" si="9"/>
        <v>18.333333333333332</v>
      </c>
      <c r="V13" s="1">
        <v>428</v>
      </c>
    </row>
    <row r="14" spans="1:22" x14ac:dyDescent="0.3">
      <c r="A14" s="1" t="s">
        <v>3</v>
      </c>
      <c r="B14" s="1">
        <v>3</v>
      </c>
      <c r="C14" s="1">
        <v>2</v>
      </c>
      <c r="D14" s="9">
        <f t="shared" si="0"/>
        <v>0.66666666666666663</v>
      </c>
      <c r="E14" s="1">
        <v>2</v>
      </c>
      <c r="F14" s="1">
        <f t="shared" si="1"/>
        <v>0</v>
      </c>
      <c r="G14" s="1">
        <f t="shared" si="2"/>
        <v>31</v>
      </c>
      <c r="H14" s="9">
        <f t="shared" si="3"/>
        <v>10.333333333333334</v>
      </c>
      <c r="I14" s="1">
        <v>13</v>
      </c>
      <c r="J14" s="1">
        <v>14</v>
      </c>
      <c r="K14" s="9">
        <f t="shared" si="4"/>
        <v>0.41935483870967744</v>
      </c>
      <c r="L14" s="1">
        <v>4</v>
      </c>
      <c r="M14" s="1">
        <v>2</v>
      </c>
      <c r="N14" s="9">
        <f t="shared" si="5"/>
        <v>0.66666666666666663</v>
      </c>
      <c r="O14" s="1">
        <v>13</v>
      </c>
      <c r="P14" s="9">
        <f t="shared" si="6"/>
        <v>4.333333333333333</v>
      </c>
      <c r="Q14" s="1">
        <v>4</v>
      </c>
      <c r="R14" s="9">
        <f t="shared" si="7"/>
        <v>1.3333333333333333</v>
      </c>
      <c r="S14" s="14">
        <f t="shared" si="8"/>
        <v>-2</v>
      </c>
      <c r="T14" s="1">
        <v>62</v>
      </c>
      <c r="U14" s="9">
        <f t="shared" si="9"/>
        <v>20.666666666666668</v>
      </c>
      <c r="V14" s="1">
        <v>78</v>
      </c>
    </row>
    <row r="15" spans="1:22" x14ac:dyDescent="0.3">
      <c r="A15" s="1" t="s">
        <v>76</v>
      </c>
      <c r="B15" s="1">
        <v>3</v>
      </c>
      <c r="C15" s="1">
        <v>1</v>
      </c>
      <c r="D15" s="9">
        <f t="shared" si="0"/>
        <v>0.33333333333333331</v>
      </c>
      <c r="E15" s="1">
        <v>1</v>
      </c>
      <c r="F15" s="1">
        <f t="shared" si="1"/>
        <v>0</v>
      </c>
      <c r="G15" s="1">
        <f t="shared" si="2"/>
        <v>27</v>
      </c>
      <c r="H15" s="9">
        <f t="shared" si="3"/>
        <v>9</v>
      </c>
      <c r="I15" s="1">
        <v>8</v>
      </c>
      <c r="J15" s="1">
        <v>16</v>
      </c>
      <c r="K15" s="9">
        <f t="shared" si="4"/>
        <v>0.29629629629629628</v>
      </c>
      <c r="L15" s="1">
        <v>3</v>
      </c>
      <c r="M15" s="1">
        <v>1</v>
      </c>
      <c r="N15" s="9">
        <f t="shared" si="5"/>
        <v>0.33333333333333331</v>
      </c>
      <c r="O15" s="1">
        <v>14</v>
      </c>
      <c r="P15" s="9">
        <f t="shared" si="6"/>
        <v>4.666666666666667</v>
      </c>
      <c r="Q15" s="1">
        <v>6</v>
      </c>
      <c r="R15" s="9">
        <f t="shared" si="7"/>
        <v>2</v>
      </c>
      <c r="S15" s="14">
        <f t="shared" si="8"/>
        <v>-5</v>
      </c>
      <c r="T15" s="1">
        <v>61</v>
      </c>
      <c r="U15" s="9">
        <f t="shared" si="9"/>
        <v>20.333333333333332</v>
      </c>
      <c r="V15" s="1">
        <v>64</v>
      </c>
    </row>
    <row r="16" spans="1:22" x14ac:dyDescent="0.3">
      <c r="A16" s="1" t="s">
        <v>77</v>
      </c>
      <c r="B16" s="1">
        <v>3</v>
      </c>
      <c r="C16" s="1">
        <v>1</v>
      </c>
      <c r="D16" s="9">
        <f t="shared" si="0"/>
        <v>0.33333333333333331</v>
      </c>
      <c r="E16" s="1">
        <v>1</v>
      </c>
      <c r="F16" s="1">
        <f t="shared" si="1"/>
        <v>0</v>
      </c>
      <c r="G16" s="1">
        <f t="shared" si="2"/>
        <v>18</v>
      </c>
      <c r="H16" s="9">
        <f t="shared" si="3"/>
        <v>6</v>
      </c>
      <c r="I16" s="1">
        <v>7</v>
      </c>
      <c r="J16" s="1">
        <v>9</v>
      </c>
      <c r="K16" s="9">
        <f t="shared" si="4"/>
        <v>0.3888888888888889</v>
      </c>
      <c r="L16" s="1">
        <v>2</v>
      </c>
      <c r="M16" s="1">
        <v>1</v>
      </c>
      <c r="N16" s="9">
        <f t="shared" si="5"/>
        <v>0.33333333333333331</v>
      </c>
      <c r="O16" s="1">
        <v>27</v>
      </c>
      <c r="P16" s="9">
        <f t="shared" si="6"/>
        <v>9</v>
      </c>
      <c r="Q16" s="1">
        <v>5</v>
      </c>
      <c r="R16" s="9">
        <f t="shared" si="7"/>
        <v>1.6666666666666667</v>
      </c>
      <c r="S16" s="14">
        <f t="shared" si="8"/>
        <v>-4</v>
      </c>
      <c r="T16" s="1">
        <v>62</v>
      </c>
      <c r="U16" s="9">
        <f t="shared" si="9"/>
        <v>20.666666666666668</v>
      </c>
      <c r="V16" s="1">
        <v>26</v>
      </c>
    </row>
    <row r="17" spans="1:22" x14ac:dyDescent="0.3">
      <c r="A17" s="1" t="s">
        <v>78</v>
      </c>
      <c r="B17" s="1">
        <v>3</v>
      </c>
      <c r="C17" s="1">
        <v>1</v>
      </c>
      <c r="D17" s="9">
        <f t="shared" si="0"/>
        <v>0.33333333333333331</v>
      </c>
      <c r="E17" s="1">
        <v>1</v>
      </c>
      <c r="F17" s="1">
        <f t="shared" si="1"/>
        <v>0</v>
      </c>
      <c r="G17" s="1">
        <f t="shared" si="2"/>
        <v>26</v>
      </c>
      <c r="H17" s="9">
        <f t="shared" si="3"/>
        <v>8.6666666666666661</v>
      </c>
      <c r="I17" s="1">
        <v>9</v>
      </c>
      <c r="J17" s="1">
        <v>15</v>
      </c>
      <c r="K17" s="9">
        <f t="shared" si="4"/>
        <v>0.34615384615384615</v>
      </c>
      <c r="L17" s="1">
        <v>2</v>
      </c>
      <c r="M17" s="1">
        <v>0</v>
      </c>
      <c r="N17" s="9">
        <f t="shared" si="5"/>
        <v>0</v>
      </c>
      <c r="O17" s="1">
        <v>16</v>
      </c>
      <c r="P17" s="9">
        <f t="shared" si="6"/>
        <v>5.333333333333333</v>
      </c>
      <c r="Q17" s="1">
        <v>9</v>
      </c>
      <c r="R17" s="9">
        <f t="shared" si="7"/>
        <v>3</v>
      </c>
      <c r="S17" s="14">
        <f t="shared" si="8"/>
        <v>-8</v>
      </c>
      <c r="T17" s="1">
        <v>59</v>
      </c>
      <c r="U17" s="9">
        <f t="shared" si="9"/>
        <v>19.666666666666668</v>
      </c>
      <c r="V17" s="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4E0B-3A32-4B3A-B1EF-66944EAA3C13}">
  <dimension ref="A1:G15"/>
  <sheetViews>
    <sheetView workbookViewId="0">
      <selection activeCell="E5" sqref="E5"/>
    </sheetView>
  </sheetViews>
  <sheetFormatPr defaultRowHeight="14.4" x14ac:dyDescent="0.3"/>
  <cols>
    <col min="1" max="1" width="14.5546875" customWidth="1"/>
    <col min="2" max="2" width="14.109375" customWidth="1"/>
    <col min="3" max="3" width="14.6640625" customWidth="1"/>
    <col min="5" max="6" width="17" customWidth="1"/>
    <col min="7" max="7" width="10" customWidth="1"/>
  </cols>
  <sheetData>
    <row r="1" spans="1:7" s="1" customFormat="1" ht="31.2" customHeight="1" x14ac:dyDescent="0.3">
      <c r="A1" s="4" t="s">
        <v>13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</row>
    <row r="2" spans="1:7" s="1" customFormat="1" x14ac:dyDescent="0.3">
      <c r="A2" s="3" t="s">
        <v>21</v>
      </c>
      <c r="B2" s="3">
        <v>22</v>
      </c>
      <c r="C2" s="3" t="s">
        <v>53</v>
      </c>
      <c r="D2" s="3" t="s">
        <v>53</v>
      </c>
      <c r="E2" s="3" t="s">
        <v>54</v>
      </c>
      <c r="F2" s="3" t="s">
        <v>55</v>
      </c>
      <c r="G2" s="3" t="s">
        <v>56</v>
      </c>
    </row>
    <row r="3" spans="1:7" s="1" customFormat="1" x14ac:dyDescent="0.3">
      <c r="A3" s="1" t="s">
        <v>33</v>
      </c>
      <c r="B3" s="1">
        <v>3</v>
      </c>
      <c r="C3" s="3" t="s">
        <v>53</v>
      </c>
      <c r="D3" s="1" t="s">
        <v>57</v>
      </c>
      <c r="E3" s="1" t="s">
        <v>58</v>
      </c>
      <c r="F3" s="1" t="s">
        <v>59</v>
      </c>
      <c r="G3" s="1" t="s">
        <v>60</v>
      </c>
    </row>
    <row r="4" spans="1:7" s="1" customFormat="1" x14ac:dyDescent="0.3">
      <c r="A4" s="1" t="s">
        <v>36</v>
      </c>
      <c r="B4" s="1">
        <v>31</v>
      </c>
      <c r="C4" s="1" t="s">
        <v>57</v>
      </c>
      <c r="D4" s="1" t="s">
        <v>57</v>
      </c>
      <c r="E4" s="1" t="s">
        <v>136</v>
      </c>
      <c r="F4" s="1" t="s">
        <v>65</v>
      </c>
      <c r="G4" s="1" t="s">
        <v>64</v>
      </c>
    </row>
    <row r="5" spans="1:7" s="1" customFormat="1" x14ac:dyDescent="0.3">
      <c r="A5" s="1" t="s">
        <v>38</v>
      </c>
      <c r="B5" s="1">
        <v>2</v>
      </c>
      <c r="C5" s="3" t="s">
        <v>53</v>
      </c>
      <c r="D5" s="1" t="s">
        <v>57</v>
      </c>
      <c r="E5" s="1" t="s">
        <v>62</v>
      </c>
      <c r="F5" s="1" t="s">
        <v>61</v>
      </c>
      <c r="G5" s="3" t="s">
        <v>63</v>
      </c>
    </row>
    <row r="6" spans="1:7" s="1" customFormat="1" x14ac:dyDescent="0.3">
      <c r="A6" s="1" t="s">
        <v>122</v>
      </c>
      <c r="B6" s="1">
        <v>11</v>
      </c>
      <c r="C6" s="3" t="s">
        <v>53</v>
      </c>
      <c r="D6" s="1" t="s">
        <v>57</v>
      </c>
      <c r="E6" s="1" t="s">
        <v>135</v>
      </c>
      <c r="F6" s="1" t="s">
        <v>66</v>
      </c>
      <c r="G6" s="6" t="s">
        <v>63</v>
      </c>
    </row>
    <row r="7" spans="1:7" s="1" customFormat="1" x14ac:dyDescent="0.3">
      <c r="G7" s="3"/>
    </row>
    <row r="8" spans="1:7" s="1" customFormat="1" x14ac:dyDescent="0.3"/>
    <row r="9" spans="1:7" s="1" customFormat="1" x14ac:dyDescent="0.3"/>
    <row r="10" spans="1:7" s="1" customFormat="1" x14ac:dyDescent="0.3"/>
    <row r="11" spans="1:7" s="1" customFormat="1" x14ac:dyDescent="0.3"/>
    <row r="12" spans="1:7" s="1" customFormat="1" x14ac:dyDescent="0.3"/>
    <row r="13" spans="1:7" s="1" customFormat="1" x14ac:dyDescent="0.3"/>
    <row r="14" spans="1:7" s="1" customFormat="1" x14ac:dyDescent="0.3"/>
    <row r="15" spans="1:7" s="1" customForma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6E6F-7B66-4F44-B9EA-0E0EE970D7DE}">
  <dimension ref="A1:B15"/>
  <sheetViews>
    <sheetView workbookViewId="0">
      <selection activeCell="I13" sqref="I13"/>
    </sheetView>
  </sheetViews>
  <sheetFormatPr defaultRowHeight="14.4" x14ac:dyDescent="0.3"/>
  <cols>
    <col min="1" max="1" width="8.77734375" style="1" customWidth="1"/>
    <col min="2" max="2" width="20.44140625" style="1" customWidth="1"/>
  </cols>
  <sheetData>
    <row r="1" spans="1:2" ht="27.6" customHeight="1" x14ac:dyDescent="0.3">
      <c r="A1" s="8" t="s">
        <v>98</v>
      </c>
      <c r="B1" s="8" t="s">
        <v>97</v>
      </c>
    </row>
    <row r="2" spans="1:2" x14ac:dyDescent="0.3">
      <c r="A2" s="13">
        <v>5</v>
      </c>
      <c r="B2" s="13" t="s">
        <v>99</v>
      </c>
    </row>
    <row r="3" spans="1:2" x14ac:dyDescent="0.3">
      <c r="A3" s="1">
        <v>4</v>
      </c>
      <c r="B3" s="1" t="s">
        <v>100</v>
      </c>
    </row>
    <row r="4" spans="1:2" x14ac:dyDescent="0.3">
      <c r="A4" s="12"/>
      <c r="B4" s="12" t="s">
        <v>101</v>
      </c>
    </row>
    <row r="5" spans="1:2" x14ac:dyDescent="0.3">
      <c r="A5" s="1">
        <v>3</v>
      </c>
      <c r="B5" s="1" t="s">
        <v>102</v>
      </c>
    </row>
    <row r="6" spans="1:2" x14ac:dyDescent="0.3">
      <c r="B6" s="1" t="s">
        <v>103</v>
      </c>
    </row>
    <row r="7" spans="1:2" x14ac:dyDescent="0.3">
      <c r="B7" s="1" t="s">
        <v>104</v>
      </c>
    </row>
    <row r="8" spans="1:2" x14ac:dyDescent="0.3">
      <c r="B8" s="1" t="s">
        <v>105</v>
      </c>
    </row>
    <row r="9" spans="1:2" x14ac:dyDescent="0.3">
      <c r="A9" s="12"/>
      <c r="B9" s="12" t="s">
        <v>106</v>
      </c>
    </row>
    <row r="10" spans="1:2" x14ac:dyDescent="0.3">
      <c r="A10" s="1">
        <v>2</v>
      </c>
      <c r="B10" s="1" t="s">
        <v>107</v>
      </c>
    </row>
    <row r="11" spans="1:2" x14ac:dyDescent="0.3">
      <c r="B11" s="1" t="s">
        <v>108</v>
      </c>
    </row>
    <row r="12" spans="1:2" x14ac:dyDescent="0.3">
      <c r="B12" s="1" t="s">
        <v>109</v>
      </c>
    </row>
    <row r="13" spans="1:2" x14ac:dyDescent="0.3">
      <c r="B13" s="1" t="s">
        <v>110</v>
      </c>
    </row>
    <row r="14" spans="1:2" x14ac:dyDescent="0.3">
      <c r="A14" s="12"/>
      <c r="B14" s="12" t="s">
        <v>111</v>
      </c>
    </row>
    <row r="15" spans="1:2" x14ac:dyDescent="0.3">
      <c r="A15" s="1">
        <v>1</v>
      </c>
      <c r="B15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</vt:lpstr>
      <vt:lpstr>Tournament Expectations</vt:lpstr>
      <vt:lpstr>Matches</vt:lpstr>
      <vt:lpstr>Teams Stats</vt:lpstr>
      <vt:lpstr>Opponent Comparison</vt:lpstr>
      <vt:lpstr>Goalscorers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Νάιδος</dc:creator>
  <cp:lastModifiedBy>Χρήστος Νάιδος</cp:lastModifiedBy>
  <dcterms:created xsi:type="dcterms:W3CDTF">2026-05-08T20:21:12Z</dcterms:created>
  <dcterms:modified xsi:type="dcterms:W3CDTF">2026-05-10T09:37:18Z</dcterms:modified>
</cp:coreProperties>
</file>